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max1/Documents/Projects/health_care_decider/"/>
    </mc:Choice>
  </mc:AlternateContent>
  <xr:revisionPtr revIDLastSave="0" documentId="13_ncr:1_{E1021CCE-A920-A545-9F76-D9343AC6D031}" xr6:coauthVersionLast="47" xr6:coauthVersionMax="47" xr10:uidLastSave="{00000000-0000-0000-0000-000000000000}"/>
  <bookViews>
    <workbookView xWindow="4420" yWindow="660" windowWidth="19740" windowHeight="13280" tabRatio="500" xr2:uid="{00000000-000D-0000-FFFF-FFFF00000000}"/>
  </bookViews>
  <sheets>
    <sheet name="Your Situation" sheetId="1" r:id="rId1"/>
    <sheet name="Plan Comparison" sheetId="2" r:id="rId2"/>
    <sheet name="Filing Timing Strategy" sheetId="3" r:id="rId3"/>
    <sheet name="Decision Guide"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39" i="2" l="1"/>
  <c r="E38" i="2"/>
  <c r="E37" i="2"/>
  <c r="D37" i="2"/>
  <c r="C15" i="1"/>
  <c r="D39" i="2" s="1"/>
  <c r="B32" i="2" l="1"/>
  <c r="C16" i="1"/>
  <c r="C46" i="2"/>
  <c r="D46" i="2"/>
  <c r="C24" i="1"/>
  <c r="C17" i="1"/>
  <c r="C21" i="1"/>
  <c r="C22" i="1" s="1"/>
  <c r="C23" i="1" s="1"/>
  <c r="C26" i="1" s="1"/>
  <c r="C39" i="2"/>
  <c r="C37" i="2"/>
  <c r="C38" i="2"/>
  <c r="D38" i="2"/>
  <c r="E6" i="2" l="1"/>
  <c r="C6" i="2"/>
  <c r="E47" i="2"/>
  <c r="E48" i="2" s="1"/>
  <c r="D47" i="2"/>
  <c r="D48" i="2" s="1"/>
  <c r="C47" i="2"/>
  <c r="C48" i="2" s="1"/>
  <c r="D6" i="2"/>
  <c r="E36" i="2"/>
  <c r="E41" i="2" s="1"/>
  <c r="D36" i="2"/>
  <c r="D41" i="2" s="1"/>
  <c r="C18" i="3"/>
  <c r="E18" i="3"/>
  <c r="C14" i="3"/>
  <c r="D18" i="3"/>
  <c r="C36" i="2"/>
  <c r="C41" i="2" s="1"/>
  <c r="B3" i="2"/>
  <c r="E19" i="3" l="1"/>
  <c r="E20" i="3" s="1"/>
  <c r="D19" i="3"/>
  <c r="D20" i="3" s="1"/>
  <c r="C19" i="3"/>
  <c r="C20" i="3" s="1"/>
  <c r="E21" i="3" l="1"/>
  <c r="D21" i="3"/>
</calcChain>
</file>

<file path=xl/sharedStrings.xml><?xml version="1.0" encoding="utf-8"?>
<sst xmlns="http://schemas.openxmlformats.org/spreadsheetml/2006/main" count="269" uniqueCount="240">
  <si>
    <t>Health Plan Calculator — Your Situation</t>
  </si>
  <si>
    <t>Fill in the YELLOW cells below. Everything else calculates automatically.</t>
  </si>
  <si>
    <t xml:space="preserve">  YOUR PROFILE</t>
  </si>
  <si>
    <t>Age</t>
  </si>
  <si>
    <t>Turns 41 in June 2026 — premiums may adjust slightly at renewal</t>
  </si>
  <si>
    <t>County</t>
  </si>
  <si>
    <t>Boulder</t>
  </si>
  <si>
    <t>Both Longmont and Boulder are in Boulder County (same rating area)</t>
  </si>
  <si>
    <t>Tobacco use</t>
  </si>
  <si>
    <t>No</t>
  </si>
  <si>
    <t>Non-tobacco rates apply</t>
  </si>
  <si>
    <t xml:space="preserve">  INCOME &amp; SUBSIDIES</t>
  </si>
  <si>
    <t>Estimated 2026 annual income</t>
  </si>
  <si>
    <t>CHANGE THIS — it's the single most important number in this whole spreadsheet</t>
  </si>
  <si>
    <t>Federal Poverty Level (single, 2026)</t>
  </si>
  <si>
    <t>Set by the federal government — do not change</t>
  </si>
  <si>
    <t>Income as % of FPL</t>
  </si>
  <si>
    <t>Calculated — determines subsidy tier</t>
  </si>
  <si>
    <t>CSR Tier</t>
  </si>
  <si>
    <t>CSR only applies to Silver plans bought through Connect for Health CO</t>
  </si>
  <si>
    <t>Colorado Premium Assistance (CPA)</t>
  </si>
  <si>
    <t>Applied automatically — NOT a tax credit, no clawback risk</t>
  </si>
  <si>
    <t xml:space="preserve">  ESTIMATED MONTHLY PREMIUMS (age 40, Boulder County, non-tobacco)</t>
  </si>
  <si>
    <t>Benchmark (SLCSP) premium — estimated</t>
  </si>
  <si>
    <t>~$580-$620 for Boulder County age 40. Replace with exact number from connectforhealthco.com</t>
  </si>
  <si>
    <t>Expected contribution (% of income)</t>
  </si>
  <si>
    <t>From IRS Rev. Proc. 2025-25 — the 2026 sliding scale (higher than 2021-2025)</t>
  </si>
  <si>
    <t>Your expected monthly contribution</t>
  </si>
  <si>
    <t>What the government expects you to pay toward the benchmark Silver plan</t>
  </si>
  <si>
    <t>Federal APTC (monthly)</t>
  </si>
  <si>
    <t>Benchmark premium minus your expected contribution. This IS a tax credit — reconciled when you file.</t>
  </si>
  <si>
    <t>Colorado Premium Assistance (monthly)</t>
  </si>
  <si>
    <t>State-funded, NOT a tax credit, never repaid even if income changes</t>
  </si>
  <si>
    <t>NET MONTHLY PREMIUM (benchmark Silver)</t>
  </si>
  <si>
    <t>Minimum is $1/mo (CPA won't reduce below $1). This is what you actually pay each month.</t>
  </si>
  <si>
    <t xml:space="preserve">  YOUR HEALTHCARE USAGE</t>
  </si>
  <si>
    <t>PCP visits per year</t>
  </si>
  <si>
    <t>Specialist visits per year</t>
  </si>
  <si>
    <t>Visits to any specialist (not PCP)</t>
  </si>
  <si>
    <t>Urgent care visits per year</t>
  </si>
  <si>
    <t>Walk-in urgent care, not ER</t>
  </si>
  <si>
    <t>Monthly generic Rx scripts</t>
  </si>
  <si>
    <t>Number of generic medications per month (Tier 1 = $0 on all plans)</t>
  </si>
  <si>
    <t xml:space="preserve">  REFERENCE: Income Thresholds (single person, 2026)</t>
  </si>
  <si>
    <t>FPL %</t>
  </si>
  <si>
    <t>Annual Income</t>
  </si>
  <si>
    <t>What Happens</t>
  </si>
  <si>
    <t>138% (Medicaid cutoff)</t>
  </si>
  <si>
    <t>Below this → likely still on Medicaid</t>
  </si>
  <si>
    <t>150%</t>
  </si>
  <si>
    <t>94% CSR — best Silver cost-sharing</t>
  </si>
  <si>
    <t>200%</t>
  </si>
  <si>
    <t>87% CSR — very good Silver cost-sharing</t>
  </si>
  <si>
    <t>250%</t>
  </si>
  <si>
    <t>73% CSR — moderate Silver improvement</t>
  </si>
  <si>
    <t>300%</t>
  </si>
  <si>
    <t>No CSR — premium credits + CPA only</t>
  </si>
  <si>
    <t>400% (SUBSIDY CLIFF)</t>
  </si>
  <si>
    <t>Above this → NO help at all</t>
  </si>
  <si>
    <t>Plan-by-Plan Comparison — Select Health Colorado 2026</t>
  </si>
  <si>
    <t>Plan Feature</t>
  </si>
  <si>
    <t>Silver $3400 Deductible
(The plan you were looking at)</t>
  </si>
  <si>
    <t>Colorado Option Silver
(Public option — $0 PCP)</t>
  </si>
  <si>
    <t>Gold $1500 Deductible
(Higher premium, lower costs)</t>
  </si>
  <si>
    <t>EST. MONTHLY PREMIUM (after APTC + CPA)</t>
  </si>
  <si>
    <t>Note: Silver premiums above are estimates — the two Silver plans may differ by $10-20/mo. Gold is typically ~$50-80/mo more after subsidies. Verify exact numbers at connectforhealthco.com.</t>
  </si>
  <si>
    <t xml:space="preserve">  COST-SHARING DETAILS (Standard — before any CSR)</t>
  </si>
  <si>
    <t>Deductible (individual)</t>
  </si>
  <si>
    <t>$3,400</t>
  </si>
  <si>
    <t>$4,400</t>
  </si>
  <si>
    <t>$1,500</t>
  </si>
  <si>
    <t>Max Out-of-Pocket (individual)</t>
  </si>
  <si>
    <t>$10,600</t>
  </si>
  <si>
    <t>$9,800</t>
  </si>
  <si>
    <t>$9,000</t>
  </si>
  <si>
    <t>Coinsurance (after deductible)</t>
  </si>
  <si>
    <t>40%</t>
  </si>
  <si>
    <t>25%</t>
  </si>
  <si>
    <t>PCP / Behavioral Health visit</t>
  </si>
  <si>
    <t>$35 copay</t>
  </si>
  <si>
    <t>$0 copay</t>
  </si>
  <si>
    <t>$15 copay</t>
  </si>
  <si>
    <t>Specialist visit</t>
  </si>
  <si>
    <t>$80 copay</t>
  </si>
  <si>
    <t>40% after deductible</t>
  </si>
  <si>
    <t>$50 copay</t>
  </si>
  <si>
    <t>Urgent care</t>
  </si>
  <si>
    <t>$60 copay</t>
  </si>
  <si>
    <t>$40 copay</t>
  </si>
  <si>
    <t>ER visit</t>
  </si>
  <si>
    <t>$850 after deductible</t>
  </si>
  <si>
    <t>25% after deductible</t>
  </si>
  <si>
    <t>Inpatient hospitalization</t>
  </si>
  <si>
    <t>Virtual visits</t>
  </si>
  <si>
    <t>$0</t>
  </si>
  <si>
    <t>Preventive care</t>
  </si>
  <si>
    <t>Rx — Tier 1 (generic)</t>
  </si>
  <si>
    <t>Rx — Tier 2 (preferred generic)</t>
  </si>
  <si>
    <t>$15</t>
  </si>
  <si>
    <t>$10</t>
  </si>
  <si>
    <t>Rx deductible</t>
  </si>
  <si>
    <t>Combined with medical</t>
  </si>
  <si>
    <t>$600</t>
  </si>
  <si>
    <t xml:space="preserve">  HOW CSR CHANGES SILVER PLANS (by income)</t>
  </si>
  <si>
    <t>If your income is...</t>
  </si>
  <si>
    <t>Silver $3400</t>
  </si>
  <si>
    <t>CO Option Silver</t>
  </si>
  <si>
    <t>Gold $1500</t>
  </si>
  <si>
    <t>Ded: $0 | OOP: $3,200
PCP: $0</t>
  </si>
  <si>
    <t>No CSR on Gold</t>
  </si>
  <si>
    <t>Ded: $100 | OOP: $3,300
PCP: $10</t>
  </si>
  <si>
    <t>Ded: $950 | OOP: $3,350
PCP: $0</t>
  </si>
  <si>
    <t>Ded: $3,000 | OOP: $7,500
PCP: $30</t>
  </si>
  <si>
    <t>Ded: $2,850 | OOP: $8,000
PCP: $0</t>
  </si>
  <si>
    <t>Standard rates above</t>
  </si>
  <si>
    <t xml:space="preserve">  ESTIMATED TOTAL ANNUAL COST (Premiums + Out-of-Pocket)</t>
  </si>
  <si>
    <t xml:space="preserve">  ROUTINE YEAR (adjusts automatically for your CSR tier)</t>
  </si>
  <si>
    <t>Cost Component</t>
  </si>
  <si>
    <t>Annual premiums (12 months)</t>
  </si>
  <si>
    <t>PCP visits</t>
  </si>
  <si>
    <t>Specialist visits</t>
  </si>
  <si>
    <t>Urgent care visits</t>
  </si>
  <si>
    <t>Prescriptions (Tier 1 generic = $0)</t>
  </si>
  <si>
    <t>ROUTINE YEAR TOTAL</t>
  </si>
  <si>
    <t xml:space="preserve">  WORST CASE: Routine care + 1 ER visit + 3-day hospitalization → you hit Max OOP</t>
  </si>
  <si>
    <t>In a worst case, you hit your Max Out-of-Pocket — the absolute most you'd pay for care. These amounts adjust for your CSR tier automatically:</t>
  </si>
  <si>
    <t>Max Out-of-Pocket (for your CSR tier)</t>
  </si>
  <si>
    <t>+ Annual premiums</t>
  </si>
  <si>
    <t>WORST CASE TOTAL</t>
  </si>
  <si>
    <t>All copays and Max OOP values above adjust automatically when you change income on the 'Your Situation' tab. CSR copay amounts are approximate — verify with Connect for Health CO before enrolling.</t>
  </si>
  <si>
    <t>Filing Timing Strategy — When to File Your 2025 Tax Return</t>
  </si>
  <si>
    <t>Filing the 2025 tax return triggers the income data match that causes Medicaid to start a redetermination process. Delaying the filing means more months of free Medicaid coverage. The trade-off: each month on Medicaid is a month of $0 coverage, but each month of delay is less time on the marketplace plan.</t>
  </si>
  <si>
    <t xml:space="preserve">  TIMING SCENARIOS</t>
  </si>
  <si>
    <t>When You File</t>
  </si>
  <si>
    <t>File Early
(Feb 2026)</t>
  </si>
  <si>
    <t>File On Time
(Apr 15, 2026)</t>
  </si>
  <si>
    <t>File on Extension
(Oct 15, 2026)</t>
  </si>
  <si>
    <t>Notes</t>
  </si>
  <si>
    <t>Approximate Medicaid end date</t>
  </si>
  <si>
    <t>~May 2026</t>
  </si>
  <si>
    <t>~Jul 2026</t>
  </si>
  <si>
    <t>~Dec 2026</t>
  </si>
  <si>
    <t>Redetermination takes 1-3 months after filing triggers it</t>
  </si>
  <si>
    <t>Months on FREE Medicaid in 2026</t>
  </si>
  <si>
    <t>~4</t>
  </si>
  <si>
    <t>~6</t>
  </si>
  <si>
    <t>~11</t>
  </si>
  <si>
    <t>Each month of Medicaid = $0 premiums AND $0 cost-sharing</t>
  </si>
  <si>
    <t>Months paying marketplace premiums</t>
  </si>
  <si>
    <t>~8</t>
  </si>
  <si>
    <t>~1</t>
  </si>
  <si>
    <t>Coverage starts 1st of month after SEP enrollment</t>
  </si>
  <si>
    <t>Your age at enrollment</t>
  </si>
  <si>
    <t>40</t>
  </si>
  <si>
    <t>40 (or 41 if after June)</t>
  </si>
  <si>
    <t>41</t>
  </si>
  <si>
    <t>Minimal premium impact between 40→41 (~2.3% of gross rate)</t>
  </si>
  <si>
    <t>SEP deadline</t>
  </si>
  <si>
    <t>~Sep 2026</t>
  </si>
  <si>
    <t>~Feb 2027</t>
  </si>
  <si>
    <t>60-90 days from Medicaid end date — DO NOT MISS</t>
  </si>
  <si>
    <t xml:space="preserve">  DOLLAR IMPACT: How much does timing save?</t>
  </si>
  <si>
    <t>Monthly premium from tab 1:</t>
  </si>
  <si>
    <t>This is the net premium after APTC and CPA</t>
  </si>
  <si>
    <t>File Early (Feb)</t>
  </si>
  <si>
    <t>File On Time (Apr)</t>
  </si>
  <si>
    <t>File Extension (Oct)</t>
  </si>
  <si>
    <t>Months paying premiums</t>
  </si>
  <si>
    <t>Adjust these — exact months depend on redetermination speed</t>
  </si>
  <si>
    <t>Total premiums paid in 2026</t>
  </si>
  <si>
    <t>Premiums ONLY — doesn't include copays/deductibles from care you actually use</t>
  </si>
  <si>
    <t>+ Routine OOP costs (prorated)</t>
  </si>
  <si>
    <t>TOTAL COST IN 2026</t>
  </si>
  <si>
    <t>Savings vs. filing early</t>
  </si>
  <si>
    <t>(baseline)</t>
  </si>
  <si>
    <t>This is real money — every month on Medicaid is a month of $0 premiums</t>
  </si>
  <si>
    <t xml:space="preserve">  IMPORTANT CAVEATS</t>
  </si>
  <si>
    <t>No gap in coverage</t>
  </si>
  <si>
    <t>When Medicaid ends, the marketplace plan should start the 1st of the next month. Enroll IMMEDIATELY when you get the termination notice to avoid any gap.</t>
  </si>
  <si>
    <t>Filing an extension ≠ not filing</t>
  </si>
  <si>
    <t>Filing for a tax extension gives you until Oct 15 to file the return. However, if you owe any tax, the payment is still due April 15. The extension only extends the filing deadline, not the payment deadline.</t>
  </si>
  <si>
    <t>Medicaid may redetermine on its own</t>
  </si>
  <si>
    <t>Colorado periodically runs redeterminations. Even without filing, your Medicaid eligibility could be reviewed based on other data matches. Filing gives more control over timing.</t>
  </si>
  <si>
    <t>2026: No APTC repayment cap</t>
  </si>
  <si>
    <t>SEP window is firm</t>
  </si>
  <si>
    <t>Colorado state return has a checkbox</t>
  </si>
  <si>
    <t>When filing the Colorado state tax return, there's a checkbox that can connect you to Connect for Health Colorado and trigger an SEP. Use this.</t>
  </si>
  <si>
    <t>Decision Guide — Which Plan Is Best?</t>
  </si>
  <si>
    <t xml:space="preserve">  IF YOUR INCOME IS... → HERE'S THE BEST PLAN</t>
  </si>
  <si>
    <t>Income Range</t>
  </si>
  <si>
    <t>Best Plan</t>
  </si>
  <si>
    <t>Why</t>
  </si>
  <si>
    <t>Est. Monthly Premium</t>
  </si>
  <si>
    <t>Under $22K
(below 150% FPL)</t>
  </si>
  <si>
    <t>Check Medicaid first!</t>
  </si>
  <si>
    <t>May still be eligible for Health First Colorado</t>
  </si>
  <si>
    <t>$0 (Medicaid)</t>
  </si>
  <si>
    <t>$22K–$30K
(150–200% FPL)</t>
  </si>
  <si>
    <t>Silver with 87%/94% CSR</t>
  </si>
  <si>
    <t>CSR makes Silver act like Platinum.
Deductible drops to $0–$100.
$0 PCP visits. Hard to beat.</t>
  </si>
  <si>
    <t>~$1–$50/mo</t>
  </si>
  <si>
    <t>$30K–$38K
(200–250% FPL)</t>
  </si>
  <si>
    <t>Silver with 73% CSR
(the plan you were
looking at)</t>
  </si>
  <si>
    <t>Still gets CSR. CO Option Silver also strong here for $0 PCP visits.</t>
  </si>
  <si>
    <t>~$50–$150/mo</t>
  </si>
  <si>
    <t>$38K–$60K
(250–400% FPL)</t>
  </si>
  <si>
    <t>Compare Silver vs Gold</t>
  </si>
  <si>
    <t>No CSR. Silver's 40% coinsurance is steep. Gold's $1,500 deductible + 25% coinsurance may save money if she uses care.</t>
  </si>
  <si>
    <t>~$150–$400/mo</t>
  </si>
  <si>
    <t>Over $60K
(400%+ FPL)</t>
  </si>
  <si>
    <t>Gold if she uses care
Bronze if healthy</t>
  </si>
  <si>
    <t>No subsidies. Full price. Gold gives predictability if she expects to use care.</t>
  </si>
  <si>
    <t>~$500–$700/mo
(full price)</t>
  </si>
  <si>
    <t xml:space="preserve">  ACTION ITEMS — IN ORDER OF PRIORITY</t>
  </si>
  <si>
    <t>1. Pin down 2026 income</t>
  </si>
  <si>
    <t>This single number determines CSR tier, premium subsidy, and CPA eligibility. A few thousand dollars can change everything.</t>
  </si>
  <si>
    <t>HIGH</t>
  </si>
  <si>
    <t>2. Decide when to file 2025 taxes</t>
  </si>
  <si>
    <t>See the Filing Timing Strategy tab. April 15 is the sweet spot — balances Medicaid months with enrollment timing.</t>
  </si>
  <si>
    <t>3. Verify Rx on formulary</t>
  </si>
  <si>
    <t>selecthealth.org/pharmacy — confirm all medications are Tier 1 (generic). If any are Tier 2+, factor in cost difference.</t>
  </si>
  <si>
    <t>MEDIUM</t>
  </si>
  <si>
    <t>4. Confirm PCP in-network</t>
  </si>
  <si>
    <t>DONE — your doctor is confirmed in the Select Health network.</t>
  </si>
  <si>
    <t>DONE</t>
  </si>
  <si>
    <t>5. Enroll through Connect for Health CO</t>
  </si>
  <si>
    <t>MUST use the marketplace — NOT directly with Select Health — to get any subsidies, CSR, or CPA.</t>
  </si>
  <si>
    <t>6. Compare exact premiums online</t>
  </si>
  <si>
    <t>Use connectforhealthco.com Estimate &amp; Explore tool with your zip code, age 40, and income for exact premium quotes.</t>
  </si>
  <si>
    <t>7. Set SEP deadline reminders</t>
  </si>
  <si>
    <t>The moment Medicaid termination notice arrives, set a 30-day and 60-day calendar reminder. Missing SEP = no coverage until Nov.</t>
  </si>
  <si>
    <t>Starting in 2026, if you receive more APTC than you're entitled to (because income ends up higher than estimated), you must repay the FULL excess — there's no cap. Estimate income carefully.</t>
  </si>
  <si>
    <t>The Special Enrollment Period is 60-90 days from the date Medicaid ends. If you miss it, you CANNOT enroll until November 2026 open enrollment. Set calendar reminders.</t>
  </si>
  <si>
    <t>~$23K (150%) → 94% CSR</t>
  </si>
  <si>
    <t>~$31K (200%) → 87% CSR</t>
  </si>
  <si>
    <t>~$39K (250%) → 73% CSR</t>
  </si>
  <si>
    <t>~$47K+ (300%+) → No CSR</t>
  </si>
  <si>
    <t>$90 copay</t>
  </si>
  <si>
    <t>Ded: $100 | OOP: $1,375
PCP: $0</t>
  </si>
  <si>
    <t>How many times you see your primary care doctor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</si>
</sst>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164" formatCode="\$#,##0"/>
    <numFmt numFmtId="165" formatCode="0\%"/>
    <numFmt numFmtId="166" formatCode="0.0%"/>
    <numFmt numFmtId="167" formatCode="\$#,##0&quot;/month&quot;"/>
  </numFmts>
  <fonts count="22" x14ac:knownFonts="1">
    <font>
      <sz val="11"/>
      <color theme="1"/>
      <name val="Calibri"/>
      <family val="2"/>
      <charset val="1"/>
    </font>
    <font>
      <b/>
      <sz val="16"/>
      <color rgb="FFFFFFFF"/>
      <name val="Arial"/>
      <family val="2"/>
    </font>
    <font>
      <i/>
      <sz val="11"/>
      <color rgb="FF555555"/>
      <name val="Arial"/>
      <family val="2"/>
    </font>
    <font>
      <b/>
      <sz val="12"/>
      <color rgb="FFFFFFFF"/>
      <name val="Arial"/>
      <family val="2"/>
    </font>
    <font>
      <b/>
      <sz val="10"/>
      <color rgb="FF333333"/>
      <name val="Arial"/>
      <family val="2"/>
    </font>
    <font>
      <sz val="10"/>
      <color rgb="FF333333"/>
      <name val="Arial"/>
      <family val="2"/>
    </font>
    <font>
      <i/>
      <sz val="9"/>
      <color rgb="FF666666"/>
      <name val="Arial"/>
      <family val="2"/>
    </font>
    <font>
      <b/>
      <sz val="11"/>
      <color rgb="FF0000FF"/>
      <name val="Arial"/>
      <family val="2"/>
    </font>
    <font>
      <b/>
      <i/>
      <sz val="9"/>
      <color rgb="FFE74C3C"/>
      <name val="Arial"/>
      <family val="2"/>
    </font>
    <font>
      <b/>
      <sz val="11"/>
      <color rgb="FF1B3A5C"/>
      <name val="Arial"/>
      <family val="2"/>
    </font>
    <font>
      <b/>
      <sz val="12"/>
      <color rgb="FF1B3A5C"/>
      <name val="Arial"/>
      <family val="2"/>
    </font>
    <font>
      <b/>
      <sz val="14"/>
      <color rgb="FF1B3A5C"/>
      <name val="Arial"/>
      <family val="2"/>
    </font>
    <font>
      <b/>
      <sz val="9"/>
      <color rgb="FF1B3A5C"/>
      <name val="Arial"/>
      <family val="2"/>
    </font>
    <font>
      <b/>
      <sz val="11"/>
      <color rgb="FFFFFFFF"/>
      <name val="Arial"/>
      <family val="2"/>
    </font>
    <font>
      <b/>
      <sz val="10"/>
      <color rgb="FF2E5E8E"/>
      <name val="Arial"/>
      <family val="2"/>
    </font>
    <font>
      <b/>
      <sz val="10"/>
      <color rgb="FFFFFFFF"/>
      <name val="Arial"/>
      <family val="2"/>
    </font>
    <font>
      <b/>
      <i/>
      <sz val="10"/>
      <color rgb="FF7B1FA2"/>
      <name val="Arial"/>
      <family val="2"/>
    </font>
    <font>
      <b/>
      <sz val="11"/>
      <color rgb="FFE74C3C"/>
      <name val="Arial"/>
      <family val="2"/>
    </font>
    <font>
      <b/>
      <sz val="11"/>
      <color rgb="FF4CAF50"/>
      <name val="Arial"/>
      <family val="2"/>
    </font>
    <font>
      <b/>
      <sz val="12"/>
      <color rgb="FF4CAF50"/>
      <name val="Arial"/>
      <family val="2"/>
    </font>
    <font>
      <b/>
      <sz val="9"/>
      <color rgb="FF4CAF50"/>
      <name val="Arial"/>
      <family val="2"/>
    </font>
    <font>
      <b/>
      <sz val="10"/>
      <color rgb="FF4CAF50"/>
      <name val="Arial"/>
      <family val="2"/>
    </font>
  </fonts>
  <fills count="13">
    <fill>
      <patternFill patternType="none"/>
    </fill>
    <fill>
      <patternFill patternType="gray125"/>
    </fill>
    <fill>
      <patternFill patternType="solid">
        <fgColor rgb="FF1B3A5C"/>
        <bgColor rgb="FF333333"/>
      </patternFill>
    </fill>
    <fill>
      <patternFill patternType="solid">
        <fgColor rgb="FF2E5E8E"/>
        <bgColor rgb="FF555555"/>
      </patternFill>
    </fill>
    <fill>
      <patternFill patternType="solid">
        <fgColor rgb="FFFFF9C4"/>
        <bgColor rgb="FFFFFF99"/>
      </patternFill>
    </fill>
    <fill>
      <patternFill patternType="solid">
        <fgColor rgb="FFD6E4F0"/>
        <bgColor rgb="FFE8F5E9"/>
      </patternFill>
    </fill>
    <fill>
      <patternFill patternType="solid">
        <fgColor rgb="FF607D8B"/>
        <bgColor rgb="FF666666"/>
      </patternFill>
    </fill>
    <fill>
      <patternFill patternType="solid">
        <fgColor rgb="FFF2F2F2"/>
        <bgColor rgb="FFE8F5E9"/>
      </patternFill>
    </fill>
    <fill>
      <patternFill patternType="solid">
        <fgColor rgb="FF4CAF50"/>
        <bgColor rgb="FF607D8B"/>
      </patternFill>
    </fill>
    <fill>
      <patternFill patternType="solid">
        <fgColor rgb="FFFF9800"/>
        <bgColor rgb="FFFFCC00"/>
      </patternFill>
    </fill>
    <fill>
      <patternFill patternType="solid">
        <fgColor rgb="FF7B1FA2"/>
        <bgColor rgb="FF800080"/>
      </patternFill>
    </fill>
    <fill>
      <patternFill patternType="solid">
        <fgColor rgb="FFE8F5E9"/>
        <bgColor rgb="FFF2F2F2"/>
      </patternFill>
    </fill>
    <fill>
      <patternFill patternType="solid">
        <fgColor rgb="FFE74C3C"/>
        <bgColor rgb="FFFF8080"/>
      </patternFill>
    </fill>
  </fills>
  <borders count="3">
    <border>
      <left/>
      <right/>
      <top/>
      <bottom/>
      <diagonal/>
    </border>
    <border>
      <left style="thin">
        <color rgb="FFB0BEC5"/>
      </left>
      <right style="thin">
        <color rgb="FFB0BEC5"/>
      </right>
      <top style="thin">
        <color rgb="FFB0BEC5"/>
      </top>
      <bottom style="thin">
        <color rgb="FFB0BEC5"/>
      </bottom>
      <diagonal/>
    </border>
    <border>
      <left style="thin">
        <color rgb="FFB0BEC5"/>
      </left>
      <right/>
      <top style="thin">
        <color rgb="FFB0BEC5"/>
      </top>
      <bottom style="thin">
        <color rgb="FFB0BEC5"/>
      </bottom>
      <diagonal/>
    </border>
  </borders>
  <cellStyleXfs count="1">
    <xf numFmtId="0" fontId="0" fillId="0" borderId="0"/>
  </cellStyleXfs>
  <cellXfs count="68">
    <xf numFmtId="0" fontId="0" fillId="0" borderId="0" xfId="0"/>
    <xf numFmtId="167" fontId="11" fillId="0" borderId="2" xfId="0" applyNumberFormat="1" applyFont="1" applyBorder="1" applyAlignment="1">
      <alignment horizontal="center" vertical="center" wrapText="1"/>
    </xf>
    <xf numFmtId="0" fontId="3" fillId="10" borderId="0" xfId="0" applyFont="1" applyFill="1" applyAlignment="1">
      <alignment horizontal="left" vertical="center"/>
    </xf>
    <xf numFmtId="0" fontId="5" fillId="0" borderId="0" xfId="0" applyFont="1" applyAlignment="1">
      <alignment horizontal="left" vertical="center" wrapText="1"/>
    </xf>
    <xf numFmtId="0" fontId="1" fillId="10" borderId="0" xfId="0" applyFont="1" applyFill="1" applyAlignment="1">
      <alignment horizontal="center" vertical="center" wrapText="1"/>
    </xf>
    <xf numFmtId="0" fontId="13" fillId="9" borderId="0" xfId="0" applyFont="1" applyFill="1" applyAlignment="1">
      <alignment horizontal="left" vertical="center"/>
    </xf>
    <xf numFmtId="0" fontId="13" fillId="8" borderId="0" xfId="0" applyFont="1" applyFill="1" applyAlignment="1">
      <alignment horizontal="left" vertical="center"/>
    </xf>
    <xf numFmtId="0" fontId="16" fillId="0" borderId="0" xfId="0" applyFont="1" applyAlignment="1">
      <alignment horizontal="left" vertical="center" wrapText="1"/>
    </xf>
    <xf numFmtId="0" fontId="13" fillId="3" borderId="0" xfId="0" applyFont="1" applyFill="1" applyAlignment="1">
      <alignment horizontal="left" vertical="center"/>
    </xf>
    <xf numFmtId="0" fontId="6" fillId="0" borderId="0" xfId="0" applyFont="1" applyAlignment="1">
      <alignment horizontal="left" vertical="center" wrapText="1"/>
    </xf>
    <xf numFmtId="0" fontId="14" fillId="0" borderId="0" xfId="0" applyFont="1" applyAlignment="1">
      <alignment horizontal="left" vertical="center" wrapText="1"/>
    </xf>
    <xf numFmtId="0" fontId="13" fillId="6" borderId="0" xfId="0" applyFont="1" applyFill="1" applyAlignment="1">
      <alignment horizontal="left" vertical="center"/>
    </xf>
    <xf numFmtId="0" fontId="3" fillId="3" borderId="0" xfId="0" applyFont="1" applyFill="1" applyAlignment="1">
      <alignment horizontal="left" vertical="center"/>
    </xf>
    <xf numFmtId="0" fontId="2" fillId="0" borderId="0" xfId="0" applyFont="1" applyAlignment="1">
      <alignment horizontal="left" vertical="center" wrapText="1"/>
    </xf>
    <xf numFmtId="0" fontId="1" fillId="2" borderId="0" xfId="0" applyFont="1" applyFill="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164" fontId="7" fillId="4" borderId="1"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4" fillId="0" borderId="1" xfId="0" applyFont="1" applyBorder="1"/>
    <xf numFmtId="164" fontId="5"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66" fontId="9" fillId="0" borderId="1" xfId="0" applyNumberFormat="1" applyFont="1" applyBorder="1" applyAlignment="1">
      <alignment horizontal="center" vertical="center" wrapText="1"/>
    </xf>
    <xf numFmtId="164" fontId="9" fillId="0" borderId="1" xfId="0" applyNumberFormat="1" applyFont="1" applyBorder="1" applyAlignment="1">
      <alignment horizontal="center" vertical="center" wrapText="1"/>
    </xf>
    <xf numFmtId="0" fontId="10" fillId="5" borderId="1" xfId="0" applyFont="1" applyFill="1" applyBorder="1" applyAlignment="1">
      <alignment horizontal="left" vertical="center" wrapText="1"/>
    </xf>
    <xf numFmtId="164" fontId="11" fillId="5" borderId="1" xfId="0" applyNumberFormat="1" applyFont="1" applyFill="1" applyBorder="1" applyAlignment="1">
      <alignment horizontal="center" vertical="center" wrapText="1"/>
    </xf>
    <xf numFmtId="0" fontId="12" fillId="5"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xf>
    <xf numFmtId="0" fontId="4"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0" fontId="15" fillId="8" borderId="1" xfId="0" applyFont="1" applyFill="1" applyBorder="1" applyAlignment="1">
      <alignment horizontal="left" vertical="center" wrapText="1"/>
    </xf>
    <xf numFmtId="164" fontId="3" fillId="8" borderId="1" xfId="0" applyNumberFormat="1"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xf numFmtId="164" fontId="5" fillId="7" borderId="1" xfId="0" applyNumberFormat="1" applyFont="1" applyFill="1" applyBorder="1" applyAlignment="1">
      <alignment horizontal="center" vertical="center" wrapText="1"/>
    </xf>
    <xf numFmtId="0" fontId="5" fillId="0" borderId="1" xfId="0" applyFont="1" applyBorder="1"/>
    <xf numFmtId="0" fontId="5" fillId="7" borderId="1" xfId="0" applyFont="1" applyFill="1" applyBorder="1"/>
    <xf numFmtId="0" fontId="13" fillId="8" borderId="1" xfId="0" applyFont="1" applyFill="1" applyBorder="1" applyAlignment="1">
      <alignment horizontal="left" vertical="center" wrapText="1"/>
    </xf>
    <xf numFmtId="164" fontId="13" fillId="8" borderId="1" xfId="0" applyNumberFormat="1" applyFont="1" applyFill="1" applyBorder="1" applyAlignment="1">
      <alignment horizontal="center" vertical="center" wrapText="1"/>
    </xf>
    <xf numFmtId="164" fontId="17" fillId="0" borderId="1" xfId="0" applyNumberFormat="1" applyFont="1" applyBorder="1" applyAlignment="1">
      <alignment horizontal="center" vertical="center" wrapText="1"/>
    </xf>
    <xf numFmtId="0" fontId="13" fillId="9" borderId="1" xfId="0" applyFont="1" applyFill="1" applyBorder="1"/>
    <xf numFmtId="164" fontId="13" fillId="9" borderId="1" xfId="0" applyNumberFormat="1" applyFont="1" applyFill="1" applyBorder="1" applyAlignment="1">
      <alignment horizontal="center" vertical="center" wrapText="1"/>
    </xf>
    <xf numFmtId="0" fontId="6" fillId="7" borderId="1" xfId="0" applyFont="1" applyFill="1" applyBorder="1" applyAlignment="1">
      <alignment horizontal="left" vertical="center" wrapText="1"/>
    </xf>
    <xf numFmtId="164" fontId="9" fillId="7" borderId="1" xfId="0" applyNumberFormat="1" applyFont="1" applyFill="1" applyBorder="1" applyAlignment="1">
      <alignment horizontal="center" vertical="center" wrapText="1"/>
    </xf>
    <xf numFmtId="0" fontId="13" fillId="10" borderId="1" xfId="0" applyFont="1" applyFill="1" applyBorder="1"/>
    <xf numFmtId="164" fontId="13" fillId="10" borderId="1" xfId="0" applyNumberFormat="1" applyFont="1" applyFill="1" applyBorder="1" applyAlignment="1">
      <alignment horizontal="center" vertical="center" wrapText="1"/>
    </xf>
    <xf numFmtId="0" fontId="18" fillId="11" borderId="1" xfId="0" applyFont="1" applyFill="1" applyBorder="1"/>
    <xf numFmtId="0" fontId="5" fillId="11" borderId="1" xfId="0" applyFont="1" applyFill="1" applyBorder="1" applyAlignment="1">
      <alignment horizontal="center" vertical="center" wrapText="1"/>
    </xf>
    <xf numFmtId="164" fontId="19" fillId="11" borderId="1" xfId="0" applyNumberFormat="1" applyFont="1" applyFill="1" applyBorder="1" applyAlignment="1">
      <alignment horizontal="center" vertical="center" wrapText="1"/>
    </xf>
    <xf numFmtId="0" fontId="20" fillId="0" borderId="1" xfId="0" applyFont="1" applyBorder="1" applyAlignment="1">
      <alignment horizontal="left" vertical="center" wrapText="1"/>
    </xf>
    <xf numFmtId="0" fontId="21" fillId="7"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15" fillId="12"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3" fillId="12" borderId="0" xfId="0" applyFont="1" applyFill="1" applyAlignment="1">
      <alignment horizontal="left" vertical="center"/>
    </xf>
    <xf numFmtId="0" fontId="5" fillId="7" borderId="2" xfId="0" applyFont="1" applyFill="1" applyBorder="1" applyAlignment="1">
      <alignment horizontal="left" vertical="center" wrapText="1"/>
    </xf>
    <xf numFmtId="0" fontId="5" fillId="0" borderId="2" xfId="0" applyFont="1" applyBorder="1" applyAlignment="1">
      <alignment horizontal="left" vertical="center" wrapText="1"/>
    </xf>
    <xf numFmtId="6" fontId="5" fillId="0" borderId="1" xfId="0" applyNumberFormat="1" applyFont="1" applyBorder="1" applyAlignment="1">
      <alignment horizontal="center" vertical="center" wrapText="1"/>
    </xf>
    <xf numFmtId="6" fontId="5" fillId="7" borderId="1" xfId="0" applyNumberFormat="1" applyFont="1" applyFill="1" applyBorder="1" applyAlignment="1">
      <alignment horizontal="center" vertical="center" wrapText="1"/>
    </xf>
    <xf numFmtId="9" fontId="5" fillId="7"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7B1FA2"/>
      <rgbColor rgb="FF008080"/>
      <rgbColor rgb="FFB0BEC5"/>
      <rgbColor rgb="FF607D8B"/>
      <rgbColor rgb="FF9999FF"/>
      <rgbColor rgb="FF993366"/>
      <rgbColor rgb="FFFFF9C4"/>
      <rgbColor rgb="FFE8F5E9"/>
      <rgbColor rgb="FF660066"/>
      <rgbColor rgb="FFFF8080"/>
      <rgbColor rgb="FF2E5E8E"/>
      <rgbColor rgb="FFD6E4F0"/>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800"/>
      <rgbColor rgb="FFE74C3C"/>
      <rgbColor rgb="FF666666"/>
      <rgbColor rgb="FF969696"/>
      <rgbColor rgb="FF1B3A5C"/>
      <rgbColor rgb="FF4CAF50"/>
      <rgbColor rgb="FF003300"/>
      <rgbColor rgb="FF333300"/>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5C"/>
  </sheetPr>
  <dimension ref="A1:E43"/>
  <sheetViews>
    <sheetView showGridLines="0" tabSelected="1" zoomScaleNormal="100" workbookViewId="0">
      <selection sqref="A1:E1"/>
    </sheetView>
  </sheetViews>
  <sheetFormatPr baseColWidth="10" defaultColWidth="8.6640625" defaultRowHeight="15" x14ac:dyDescent="0.2"/>
  <cols>
    <col min="1" max="1" width="3" customWidth="1"/>
    <col min="2" max="2" width="42" customWidth="1"/>
    <col min="3" max="3" width="25" customWidth="1"/>
    <col min="4" max="4" width="35" customWidth="1"/>
    <col min="5" max="5" width="3" customWidth="1"/>
  </cols>
  <sheetData>
    <row r="1" spans="1:5" ht="45" customHeight="1" x14ac:dyDescent="0.2">
      <c r="A1" s="14" t="s">
        <v>0</v>
      </c>
      <c r="B1" s="14"/>
      <c r="C1" s="14"/>
      <c r="D1" s="14"/>
      <c r="E1" s="14"/>
    </row>
    <row r="3" spans="1:5" ht="15" customHeight="1" x14ac:dyDescent="0.2">
      <c r="B3" s="13" t="s">
        <v>1</v>
      </c>
      <c r="C3" s="13"/>
      <c r="D3" s="13"/>
    </row>
    <row r="5" spans="1:5" ht="31.5" customHeight="1" x14ac:dyDescent="0.2">
      <c r="B5" s="12" t="s">
        <v>2</v>
      </c>
      <c r="C5" s="12"/>
      <c r="D5" s="12"/>
    </row>
    <row r="7" spans="1:5" ht="27.75" customHeight="1" x14ac:dyDescent="0.2">
      <c r="B7" s="15" t="s">
        <v>3</v>
      </c>
      <c r="C7" s="16">
        <v>40</v>
      </c>
      <c r="D7" s="17" t="s">
        <v>4</v>
      </c>
    </row>
    <row r="8" spans="1:5" ht="27.75" customHeight="1" x14ac:dyDescent="0.2">
      <c r="B8" s="15" t="s">
        <v>5</v>
      </c>
      <c r="C8" s="16" t="s">
        <v>6</v>
      </c>
      <c r="D8" s="17" t="s">
        <v>7</v>
      </c>
    </row>
    <row r="9" spans="1:5" ht="27.75" customHeight="1" x14ac:dyDescent="0.2">
      <c r="B9" s="15" t="s">
        <v>8</v>
      </c>
      <c r="C9" s="16" t="s">
        <v>9</v>
      </c>
      <c r="D9" s="17" t="s">
        <v>10</v>
      </c>
    </row>
    <row r="11" spans="1:5" ht="31.5" customHeight="1" x14ac:dyDescent="0.2">
      <c r="B11" s="12" t="s">
        <v>11</v>
      </c>
      <c r="C11" s="12"/>
      <c r="D11" s="12"/>
    </row>
    <row r="13" spans="1:5" ht="31.5" customHeight="1" x14ac:dyDescent="0.2">
      <c r="B13" s="15" t="s">
        <v>12</v>
      </c>
      <c r="C13" s="18">
        <v>42000</v>
      </c>
      <c r="D13" s="19" t="s">
        <v>13</v>
      </c>
    </row>
    <row r="14" spans="1:5" ht="26" x14ac:dyDescent="0.2">
      <c r="B14" s="20" t="s">
        <v>14</v>
      </c>
      <c r="C14" s="21">
        <v>15650</v>
      </c>
      <c r="D14" s="17" t="s">
        <v>15</v>
      </c>
    </row>
    <row r="15" spans="1:5" x14ac:dyDescent="0.2">
      <c r="B15" s="20" t="s">
        <v>16</v>
      </c>
      <c r="C15" s="22">
        <f>IF(C13="","",ROUND(C13/C14*100,0))</f>
        <v>268</v>
      </c>
      <c r="D15" s="17" t="s">
        <v>17</v>
      </c>
    </row>
    <row r="16" spans="1:5" ht="30" customHeight="1" x14ac:dyDescent="0.2">
      <c r="B16" s="20" t="s">
        <v>18</v>
      </c>
      <c r="C16" s="23" t="str">
        <f>IF(C15="","",IF(C15&lt;=150,"94% CSR — Silver acts like Platinum!",IF(C15&lt;=200,"87% CSR — Silver acts like Gold+",IF(C15&lt;=250,"73% CSR — moderate improvement on Silver",IF(C15&lt;=400,"No CSR — compare Silver vs Gold carefully","No subsidies at all (over 400% FPL)")))))</f>
        <v>No CSR — compare Silver vs Gold carefully</v>
      </c>
      <c r="D16" s="17" t="s">
        <v>19</v>
      </c>
    </row>
    <row r="17" spans="2:4" ht="30" x14ac:dyDescent="0.2">
      <c r="B17" s="20" t="s">
        <v>20</v>
      </c>
      <c r="C17" s="23" t="str">
        <f>IF(C15="","",IF(C15&lt;=400,"$80/mo ($960/yr) — state-funded, never repaid","Not eligible (over 400% FPL)"))</f>
        <v>$80/mo ($960/yr) — state-funded, never repaid</v>
      </c>
      <c r="D17" s="17" t="s">
        <v>21</v>
      </c>
    </row>
    <row r="19" spans="2:4" ht="31.5" customHeight="1" x14ac:dyDescent="0.2">
      <c r="B19" s="12" t="s">
        <v>22</v>
      </c>
      <c r="C19" s="12"/>
      <c r="D19" s="12"/>
    </row>
    <row r="20" spans="2:4" ht="26" x14ac:dyDescent="0.2">
      <c r="B20" s="20" t="s">
        <v>23</v>
      </c>
      <c r="C20" s="18">
        <v>600</v>
      </c>
      <c r="D20" s="17" t="s">
        <v>24</v>
      </c>
    </row>
    <row r="21" spans="2:4" ht="26" x14ac:dyDescent="0.2">
      <c r="B21" s="20" t="s">
        <v>25</v>
      </c>
      <c r="C21" s="24">
        <f>IF(C15="","",IF(C15&lt;=133,2.1%,IF(C15&lt;=150,3.14%+(C15-133)/(150-133)*(4.19%-3.14%),IF(C15&lt;=200,4.19%+(C15-150)/(200-150)*(6.6%-4.19%),IF(C15&lt;=250,6.6%+(C15-200)/(250-200)*(8.44%-6.6%),IF(C15&lt;=300,8.44%+(C15-250)/(300-250)*(9.96%-8.44%),IF(C15&lt;=400,9.96%,0)))))))</f>
        <v>8.9871999999999994E-2</v>
      </c>
      <c r="D21" s="17" t="s">
        <v>26</v>
      </c>
    </row>
    <row r="22" spans="2:4" ht="26" x14ac:dyDescent="0.2">
      <c r="B22" s="20" t="s">
        <v>27</v>
      </c>
      <c r="C22" s="25">
        <f>IF(C21="","",ROUND(C13*C21/12,0))</f>
        <v>315</v>
      </c>
      <c r="D22" s="17" t="s">
        <v>28</v>
      </c>
    </row>
    <row r="23" spans="2:4" ht="39" x14ac:dyDescent="0.2">
      <c r="B23" s="20" t="s">
        <v>29</v>
      </c>
      <c r="C23" s="25">
        <f>IF(C15&gt;400,"$0 — over subsidy cliff",IF(C22="","",MAX(0,C20-C22)))</f>
        <v>285</v>
      </c>
      <c r="D23" s="17" t="s">
        <v>30</v>
      </c>
    </row>
    <row r="24" spans="2:4" ht="26" x14ac:dyDescent="0.2">
      <c r="B24" s="20" t="s">
        <v>31</v>
      </c>
      <c r="C24" s="25">
        <f>IF(C15&gt;400,0,80)</f>
        <v>80</v>
      </c>
      <c r="D24" s="17" t="s">
        <v>32</v>
      </c>
    </row>
    <row r="26" spans="2:4" ht="34.5" customHeight="1" x14ac:dyDescent="0.2">
      <c r="B26" s="26" t="s">
        <v>33</v>
      </c>
      <c r="C26" s="27">
        <f>IF(C15&gt;400,C20,MAX(1,C20-C23-C24))</f>
        <v>235</v>
      </c>
      <c r="D26" s="28" t="s">
        <v>34</v>
      </c>
    </row>
    <row r="28" spans="2:4" ht="31.5" customHeight="1" x14ac:dyDescent="0.2">
      <c r="B28" s="12" t="s">
        <v>35</v>
      </c>
      <c r="C28" s="12"/>
      <c r="D28" s="12"/>
    </row>
    <row r="30" spans="2:4" ht="27.75" customHeight="1" x14ac:dyDescent="0.2">
      <c r="B30" s="15" t="s">
        <v>36</v>
      </c>
      <c r="C30" s="29">
        <v>4</v>
      </c>
      <c r="D30" s="17" t="s">
        <v>239</v>
      </c>
    </row>
    <row r="31" spans="2:4" ht="27.75" customHeight="1" x14ac:dyDescent="0.2">
      <c r="B31" s="15" t="s">
        <v>37</v>
      </c>
      <c r="C31" s="29">
        <v>0</v>
      </c>
      <c r="D31" s="17" t="s">
        <v>38</v>
      </c>
    </row>
    <row r="32" spans="2:4" ht="27.75" customHeight="1" x14ac:dyDescent="0.2">
      <c r="B32" s="15" t="s">
        <v>39</v>
      </c>
      <c r="C32" s="29">
        <v>1</v>
      </c>
      <c r="D32" s="17" t="s">
        <v>40</v>
      </c>
    </row>
    <row r="33" spans="2:4" ht="27.75" customHeight="1" x14ac:dyDescent="0.2">
      <c r="B33" s="15" t="s">
        <v>41</v>
      </c>
      <c r="C33" s="29">
        <v>2</v>
      </c>
      <c r="D33" s="17" t="s">
        <v>42</v>
      </c>
    </row>
    <row r="36" spans="2:4" ht="30" customHeight="1" x14ac:dyDescent="0.2">
      <c r="B36" s="11" t="s">
        <v>43</v>
      </c>
      <c r="C36" s="11"/>
      <c r="D36" s="11"/>
    </row>
    <row r="37" spans="2:4" x14ac:dyDescent="0.2">
      <c r="B37" s="30" t="s">
        <v>44</v>
      </c>
      <c r="C37" s="30" t="s">
        <v>45</v>
      </c>
      <c r="D37" s="30" t="s">
        <v>46</v>
      </c>
    </row>
    <row r="38" spans="2:4" ht="24.75" customHeight="1" x14ac:dyDescent="0.2">
      <c r="B38" s="31" t="s">
        <v>47</v>
      </c>
      <c r="C38" s="65">
        <v>21597</v>
      </c>
      <c r="D38" s="32" t="s">
        <v>48</v>
      </c>
    </row>
    <row r="39" spans="2:4" ht="24.75" customHeight="1" x14ac:dyDescent="0.2">
      <c r="B39" s="33" t="s">
        <v>49</v>
      </c>
      <c r="C39" s="66">
        <v>23475</v>
      </c>
      <c r="D39" s="35" t="s">
        <v>50</v>
      </c>
    </row>
    <row r="40" spans="2:4" ht="24.75" customHeight="1" x14ac:dyDescent="0.2">
      <c r="B40" s="31" t="s">
        <v>51</v>
      </c>
      <c r="C40" s="65">
        <v>31300</v>
      </c>
      <c r="D40" s="32" t="s">
        <v>52</v>
      </c>
    </row>
    <row r="41" spans="2:4" ht="24.75" customHeight="1" x14ac:dyDescent="0.2">
      <c r="B41" s="33" t="s">
        <v>53</v>
      </c>
      <c r="C41" s="66">
        <v>39125</v>
      </c>
      <c r="D41" s="35" t="s">
        <v>54</v>
      </c>
    </row>
    <row r="42" spans="2:4" ht="24.75" customHeight="1" x14ac:dyDescent="0.2">
      <c r="B42" s="31" t="s">
        <v>55</v>
      </c>
      <c r="C42" s="65">
        <v>46950</v>
      </c>
      <c r="D42" s="32" t="s">
        <v>56</v>
      </c>
    </row>
    <row r="43" spans="2:4" ht="24.75" customHeight="1" x14ac:dyDescent="0.2">
      <c r="B43" s="33" t="s">
        <v>57</v>
      </c>
      <c r="C43" s="66">
        <v>62600</v>
      </c>
      <c r="D43" s="35" t="s">
        <v>58</v>
      </c>
    </row>
  </sheetData>
  <mergeCells count="7">
    <mergeCell ref="B28:D28"/>
    <mergeCell ref="B36:D36"/>
    <mergeCell ref="A1:E1"/>
    <mergeCell ref="B3:D3"/>
    <mergeCell ref="B5:D5"/>
    <mergeCell ref="B11:D11"/>
    <mergeCell ref="B19:D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E8E"/>
  </sheetPr>
  <dimension ref="A1:F50"/>
  <sheetViews>
    <sheetView showGridLines="0" zoomScaleNormal="100" workbookViewId="0"/>
  </sheetViews>
  <sheetFormatPr baseColWidth="10" defaultColWidth="8.6640625" defaultRowHeight="15" x14ac:dyDescent="0.2"/>
  <cols>
    <col min="1" max="1" width="3" customWidth="1"/>
    <col min="2" max="2" width="35" customWidth="1"/>
    <col min="3" max="5" width="22" customWidth="1"/>
    <col min="6" max="6" width="3" customWidth="1"/>
  </cols>
  <sheetData>
    <row r="1" spans="1:6" ht="45" customHeight="1" x14ac:dyDescent="0.2">
      <c r="A1" s="14" t="s">
        <v>59</v>
      </c>
      <c r="B1" s="14"/>
      <c r="C1" s="14"/>
      <c r="D1" s="14"/>
      <c r="E1" s="14"/>
      <c r="F1" s="14"/>
    </row>
    <row r="3" spans="1:6" ht="34.5" customHeight="1" x14ac:dyDescent="0.2">
      <c r="B3" s="10" t="str">
        <f>CONCATENATE("Your income: ",TEXT('Your Situation'!C13,"$#,##0")," (",'Your Situation'!C15,"% FPL)  |  CSR: ",'Your Situation'!C16,"  |  Net monthly premium (benchmark): ",TEXT('Your Situation'!C26,"$#,##0"))</f>
        <v>Your income: $42,000 (268% FPL)  |  CSR: No CSR — compare Silver vs Gold carefully  |  Net monthly premium (benchmark): $235</v>
      </c>
      <c r="C3" s="10"/>
      <c r="D3" s="10"/>
      <c r="E3" s="10"/>
    </row>
    <row r="5" spans="1:6" ht="45" customHeight="1" x14ac:dyDescent="0.2">
      <c r="B5" s="30" t="s">
        <v>60</v>
      </c>
      <c r="C5" s="36" t="s">
        <v>61</v>
      </c>
      <c r="D5" s="36" t="s">
        <v>62</v>
      </c>
      <c r="E5" s="36" t="s">
        <v>63</v>
      </c>
    </row>
    <row r="6" spans="1:6" ht="31.5" customHeight="1" x14ac:dyDescent="0.2">
      <c r="B6" s="37" t="s">
        <v>64</v>
      </c>
      <c r="C6" s="38">
        <f>'Your Situation'!C26</f>
        <v>235</v>
      </c>
      <c r="D6" s="38">
        <f>'Your Situation'!C26</f>
        <v>235</v>
      </c>
      <c r="E6" s="38">
        <f>'Your Situation'!C26+65</f>
        <v>300</v>
      </c>
    </row>
    <row r="7" spans="1:6" ht="22.25" customHeight="1" x14ac:dyDescent="0.2">
      <c r="B7" s="9" t="s">
        <v>65</v>
      </c>
      <c r="C7" s="9"/>
      <c r="D7" s="9"/>
      <c r="E7" s="9"/>
    </row>
    <row r="9" spans="1:6" ht="30" customHeight="1" x14ac:dyDescent="0.2">
      <c r="B9" s="8" t="s">
        <v>66</v>
      </c>
      <c r="C9" s="8"/>
      <c r="D9" s="8"/>
      <c r="E9" s="8"/>
    </row>
    <row r="10" spans="1:6" ht="24" customHeight="1" x14ac:dyDescent="0.2">
      <c r="B10" s="39" t="s">
        <v>67</v>
      </c>
      <c r="C10" s="34" t="s">
        <v>68</v>
      </c>
      <c r="D10" s="34" t="s">
        <v>69</v>
      </c>
      <c r="E10" s="34" t="s">
        <v>70</v>
      </c>
    </row>
    <row r="11" spans="1:6" ht="24" customHeight="1" x14ac:dyDescent="0.2">
      <c r="B11" s="15" t="s">
        <v>71</v>
      </c>
      <c r="C11" s="16" t="s">
        <v>72</v>
      </c>
      <c r="D11" s="16" t="s">
        <v>73</v>
      </c>
      <c r="E11" s="16" t="s">
        <v>74</v>
      </c>
    </row>
    <row r="12" spans="1:6" ht="24" customHeight="1" x14ac:dyDescent="0.2">
      <c r="B12" s="39" t="s">
        <v>75</v>
      </c>
      <c r="C12" s="34" t="s">
        <v>76</v>
      </c>
      <c r="D12" s="67">
        <v>0.4</v>
      </c>
      <c r="E12" s="34" t="s">
        <v>77</v>
      </c>
    </row>
    <row r="13" spans="1:6" ht="24" customHeight="1" x14ac:dyDescent="0.2">
      <c r="B13" s="32" t="s">
        <v>78</v>
      </c>
      <c r="C13" s="16" t="s">
        <v>79</v>
      </c>
      <c r="D13" s="16" t="s">
        <v>80</v>
      </c>
      <c r="E13" s="16" t="s">
        <v>81</v>
      </c>
    </row>
    <row r="14" spans="1:6" ht="24" customHeight="1" x14ac:dyDescent="0.2">
      <c r="B14" s="35" t="s">
        <v>82</v>
      </c>
      <c r="C14" s="34" t="s">
        <v>83</v>
      </c>
      <c r="D14" s="34" t="s">
        <v>237</v>
      </c>
      <c r="E14" s="34" t="s">
        <v>85</v>
      </c>
    </row>
    <row r="15" spans="1:6" ht="24" customHeight="1" x14ac:dyDescent="0.2">
      <c r="B15" s="32" t="s">
        <v>86</v>
      </c>
      <c r="C15" s="16" t="s">
        <v>87</v>
      </c>
      <c r="D15" s="16" t="s">
        <v>83</v>
      </c>
      <c r="E15" s="16" t="s">
        <v>88</v>
      </c>
    </row>
    <row r="16" spans="1:6" ht="24" customHeight="1" x14ac:dyDescent="0.2">
      <c r="B16" s="35" t="s">
        <v>89</v>
      </c>
      <c r="C16" s="34" t="s">
        <v>90</v>
      </c>
      <c r="D16" s="34" t="s">
        <v>84</v>
      </c>
      <c r="E16" s="34" t="s">
        <v>91</v>
      </c>
    </row>
    <row r="17" spans="2:5" ht="24" customHeight="1" x14ac:dyDescent="0.2">
      <c r="B17" s="32" t="s">
        <v>92</v>
      </c>
      <c r="C17" s="16" t="s">
        <v>84</v>
      </c>
      <c r="D17" s="16" t="s">
        <v>84</v>
      </c>
      <c r="E17" s="16" t="s">
        <v>91</v>
      </c>
    </row>
    <row r="18" spans="2:5" ht="24" customHeight="1" x14ac:dyDescent="0.2">
      <c r="B18" s="35" t="s">
        <v>93</v>
      </c>
      <c r="C18" s="34" t="s">
        <v>94</v>
      </c>
      <c r="D18" s="34" t="s">
        <v>94</v>
      </c>
      <c r="E18" s="34" t="s">
        <v>94</v>
      </c>
    </row>
    <row r="19" spans="2:5" ht="24" customHeight="1" x14ac:dyDescent="0.2">
      <c r="B19" s="32" t="s">
        <v>95</v>
      </c>
      <c r="C19" s="16" t="s">
        <v>94</v>
      </c>
      <c r="D19" s="16" t="s">
        <v>94</v>
      </c>
      <c r="E19" s="16" t="s">
        <v>94</v>
      </c>
    </row>
    <row r="20" spans="2:5" ht="24" customHeight="1" x14ac:dyDescent="0.2">
      <c r="B20" s="35" t="s">
        <v>96</v>
      </c>
      <c r="C20" s="34" t="s">
        <v>94</v>
      </c>
      <c r="D20" s="34" t="s">
        <v>94</v>
      </c>
      <c r="E20" s="34" t="s">
        <v>94</v>
      </c>
    </row>
    <row r="21" spans="2:5" ht="24" customHeight="1" x14ac:dyDescent="0.2">
      <c r="B21" s="32" t="s">
        <v>97</v>
      </c>
      <c r="C21" s="16" t="s">
        <v>98</v>
      </c>
      <c r="D21" s="65">
        <v>20</v>
      </c>
      <c r="E21" s="16" t="s">
        <v>99</v>
      </c>
    </row>
    <row r="22" spans="2:5" ht="24" customHeight="1" x14ac:dyDescent="0.2">
      <c r="B22" s="35" t="s">
        <v>100</v>
      </c>
      <c r="C22" s="34" t="s">
        <v>70</v>
      </c>
      <c r="D22" s="34" t="s">
        <v>101</v>
      </c>
      <c r="E22" s="34" t="s">
        <v>102</v>
      </c>
    </row>
    <row r="24" spans="2:5" ht="30" customHeight="1" x14ac:dyDescent="0.2">
      <c r="B24" s="8" t="s">
        <v>103</v>
      </c>
      <c r="C24" s="8"/>
      <c r="D24" s="8"/>
      <c r="E24" s="8"/>
    </row>
    <row r="25" spans="2:5" x14ac:dyDescent="0.2">
      <c r="B25" s="30" t="s">
        <v>104</v>
      </c>
      <c r="C25" s="30" t="s">
        <v>105</v>
      </c>
      <c r="D25" s="30" t="s">
        <v>106</v>
      </c>
      <c r="E25" s="30" t="s">
        <v>107</v>
      </c>
    </row>
    <row r="26" spans="2:5" ht="45" customHeight="1" x14ac:dyDescent="0.2">
      <c r="B26" s="33" t="s">
        <v>233</v>
      </c>
      <c r="C26" s="34" t="s">
        <v>108</v>
      </c>
      <c r="D26" s="34" t="s">
        <v>238</v>
      </c>
      <c r="E26" s="34" t="s">
        <v>109</v>
      </c>
    </row>
    <row r="27" spans="2:5" ht="45" customHeight="1" x14ac:dyDescent="0.2">
      <c r="B27" s="31" t="s">
        <v>234</v>
      </c>
      <c r="C27" s="16" t="s">
        <v>110</v>
      </c>
      <c r="D27" s="16" t="s">
        <v>111</v>
      </c>
      <c r="E27" s="16" t="s">
        <v>109</v>
      </c>
    </row>
    <row r="28" spans="2:5" ht="45" customHeight="1" x14ac:dyDescent="0.2">
      <c r="B28" s="33" t="s">
        <v>235</v>
      </c>
      <c r="C28" s="34" t="s">
        <v>112</v>
      </c>
      <c r="D28" s="34" t="s">
        <v>113</v>
      </c>
      <c r="E28" s="34" t="s">
        <v>109</v>
      </c>
    </row>
    <row r="29" spans="2:5" ht="45" customHeight="1" x14ac:dyDescent="0.2">
      <c r="B29" s="31" t="s">
        <v>236</v>
      </c>
      <c r="C29" s="16" t="s">
        <v>114</v>
      </c>
      <c r="D29" s="16" t="s">
        <v>114</v>
      </c>
      <c r="E29" s="16" t="s">
        <v>114</v>
      </c>
    </row>
    <row r="31" spans="2:5" ht="30" customHeight="1" x14ac:dyDescent="0.2">
      <c r="B31" s="8" t="s">
        <v>115</v>
      </c>
      <c r="C31" s="8"/>
      <c r="D31" s="8"/>
      <c r="E31" s="8"/>
    </row>
    <row r="32" spans="2:5" ht="27.75" customHeight="1" x14ac:dyDescent="0.2">
      <c r="B32" s="7" t="str">
        <f>IF('Your Situation'!C15&lt;=150,"Your income qualifies for 94% CSR — costs below reflect near-Platinum benefits",IF('Your Situation'!C15&lt;=200,"Your income qualifies for 87% CSR — costs below reflect enhanced Silver benefits",IF('Your Situation'!C15&lt;=250,"Your income qualifies for 73% CSR — costs below reflect moderate Silver improvement","No CSR at your income — Silver costs are standard (compare carefully with Gold)")))</f>
        <v>No CSR at your income — Silver costs are standard (compare carefully with Gold)</v>
      </c>
      <c r="C32" s="7"/>
      <c r="D32" s="7"/>
      <c r="E32" s="7"/>
    </row>
    <row r="34" spans="2:5" ht="27.75" customHeight="1" x14ac:dyDescent="0.2">
      <c r="B34" s="6" t="s">
        <v>116</v>
      </c>
      <c r="C34" s="6"/>
      <c r="D34" s="6"/>
      <c r="E34" s="6"/>
    </row>
    <row r="35" spans="2:5" x14ac:dyDescent="0.2">
      <c r="B35" s="30" t="s">
        <v>117</v>
      </c>
      <c r="C35" s="30" t="s">
        <v>105</v>
      </c>
      <c r="D35" s="30" t="s">
        <v>106</v>
      </c>
      <c r="E35" s="30" t="s">
        <v>107</v>
      </c>
    </row>
    <row r="36" spans="2:5" x14ac:dyDescent="0.2">
      <c r="B36" s="40" t="s">
        <v>118</v>
      </c>
      <c r="C36" s="41">
        <f>'Your Situation'!C26*12</f>
        <v>2820</v>
      </c>
      <c r="D36" s="41">
        <f>'Your Situation'!C26*12</f>
        <v>2820</v>
      </c>
      <c r="E36" s="41">
        <f>('Your Situation'!C26+65)*12</f>
        <v>3600</v>
      </c>
    </row>
    <row r="37" spans="2:5" x14ac:dyDescent="0.2">
      <c r="B37" s="42" t="s">
        <v>119</v>
      </c>
      <c r="C37" s="21">
        <f>'Your Situation'!C30*IF('Your Situation'!C15&lt;=150,0,IF('Your Situation'!C15&lt;=200,10,IF('Your Situation'!C15&lt;=250,30,35)))</f>
        <v>140</v>
      </c>
      <c r="D37" s="21">
        <f>'Your Situation'!C30*0</f>
        <v>0</v>
      </c>
      <c r="E37" s="21">
        <f>'Your Situation'!C30*15</f>
        <v>60</v>
      </c>
    </row>
    <row r="38" spans="2:5" x14ac:dyDescent="0.2">
      <c r="B38" s="43" t="s">
        <v>120</v>
      </c>
      <c r="C38" s="41">
        <f>'Your Situation'!C31*IF('Your Situation'!C15&lt;=150,10,IF('Your Situation'!C15&lt;=200,30,IF('Your Situation'!C15&lt;=250,60,80)))</f>
        <v>0</v>
      </c>
      <c r="D38" s="41">
        <f>'Your Situation'!C31*IF('Your Situation'!C15&lt;=150,5,IF('Your Situation'!C15&lt;=200,40,IF('Your Situation'!C15&lt;=250,80,120)))</f>
        <v>0</v>
      </c>
      <c r="E38" s="41">
        <f>'Your Situation'!C31*50</f>
        <v>0</v>
      </c>
    </row>
    <row r="39" spans="2:5" x14ac:dyDescent="0.2">
      <c r="B39" s="42" t="s">
        <v>121</v>
      </c>
      <c r="C39" s="21">
        <f>'Your Situation'!C32*IF('Your Situation'!C15&lt;=150,10,IF('Your Situation'!C15&lt;=200,25,IF('Your Situation'!C15&lt;=250,45,60)))</f>
        <v>60</v>
      </c>
      <c r="D39" s="21">
        <f>'Your Situation'!C32*IF('Your Situation'!C15&lt;=150,5,IF('Your Situation'!C15&lt;=200,30,IF('Your Situation'!C15&lt;=250,55,75)))</f>
        <v>75</v>
      </c>
      <c r="E39" s="21">
        <f>'Your Situation'!C32*40</f>
        <v>40</v>
      </c>
    </row>
    <row r="40" spans="2:5" x14ac:dyDescent="0.2">
      <c r="B40" s="43" t="s">
        <v>122</v>
      </c>
      <c r="C40" s="41">
        <v>0</v>
      </c>
      <c r="D40" s="41">
        <v>0</v>
      </c>
      <c r="E40" s="41">
        <v>0</v>
      </c>
    </row>
    <row r="41" spans="2:5" ht="30" customHeight="1" x14ac:dyDescent="0.2">
      <c r="B41" s="44" t="s">
        <v>123</v>
      </c>
      <c r="C41" s="45">
        <f>SUM(C36:C40)</f>
        <v>3020</v>
      </c>
      <c r="D41" s="45">
        <f>SUM(D36:D40)</f>
        <v>2895</v>
      </c>
      <c r="E41" s="45">
        <f>SUM(E36:E40)</f>
        <v>3700</v>
      </c>
    </row>
    <row r="43" spans="2:5" ht="27.75" customHeight="1" x14ac:dyDescent="0.2">
      <c r="B43" s="5" t="s">
        <v>124</v>
      </c>
      <c r="C43" s="5"/>
      <c r="D43" s="5"/>
      <c r="E43" s="5"/>
    </row>
    <row r="44" spans="2:5" ht="22.25" customHeight="1" x14ac:dyDescent="0.2">
      <c r="B44" s="9" t="s">
        <v>125</v>
      </c>
      <c r="C44" s="9"/>
      <c r="D44" s="9"/>
      <c r="E44" s="9"/>
    </row>
    <row r="45" spans="2:5" x14ac:dyDescent="0.2">
      <c r="B45" s="30"/>
      <c r="C45" s="30" t="s">
        <v>105</v>
      </c>
      <c r="D45" s="30" t="s">
        <v>106</v>
      </c>
      <c r="E45" s="30" t="s">
        <v>107</v>
      </c>
    </row>
    <row r="46" spans="2:5" x14ac:dyDescent="0.2">
      <c r="B46" s="20" t="s">
        <v>126</v>
      </c>
      <c r="C46" s="46">
        <f>IF('Your Situation'!C15&lt;=150,3200,IF('Your Situation'!C15&lt;=200,3300,IF('Your Situation'!C15&lt;=250,7500,10600)))</f>
        <v>10600</v>
      </c>
      <c r="D46" s="46">
        <f>IF('Your Situation'!C15&lt;=150,1400,IF('Your Situation'!C15&lt;=200,3350,IF('Your Situation'!C15&lt;=250,8000,9800)))</f>
        <v>9800</v>
      </c>
      <c r="E46" s="46">
        <v>9000</v>
      </c>
    </row>
    <row r="47" spans="2:5" x14ac:dyDescent="0.2">
      <c r="B47" s="43" t="s">
        <v>127</v>
      </c>
      <c r="C47" s="41">
        <f>'Your Situation'!C26*12</f>
        <v>2820</v>
      </c>
      <c r="D47" s="41">
        <f>'Your Situation'!C26*12</f>
        <v>2820</v>
      </c>
      <c r="E47" s="41">
        <f>('Your Situation'!C26+65)*12</f>
        <v>3600</v>
      </c>
    </row>
    <row r="48" spans="2:5" ht="30" customHeight="1" x14ac:dyDescent="0.2">
      <c r="B48" s="47" t="s">
        <v>128</v>
      </c>
      <c r="C48" s="48">
        <f>C46+C47</f>
        <v>13420</v>
      </c>
      <c r="D48" s="48">
        <f>D46+D47</f>
        <v>12620</v>
      </c>
      <c r="E48" s="48">
        <f>E46+E47</f>
        <v>12600</v>
      </c>
    </row>
    <row r="50" spans="2:5" ht="27.75" customHeight="1" x14ac:dyDescent="0.2">
      <c r="B50" s="9" t="s">
        <v>129</v>
      </c>
      <c r="C50" s="9"/>
      <c r="D50" s="9"/>
      <c r="E50" s="9"/>
    </row>
  </sheetData>
  <mergeCells count="11">
    <mergeCell ref="B50:E50"/>
    <mergeCell ref="B31:E31"/>
    <mergeCell ref="B32:E32"/>
    <mergeCell ref="B34:E34"/>
    <mergeCell ref="B43:E43"/>
    <mergeCell ref="B44:E44"/>
    <mergeCell ref="A1:F1"/>
    <mergeCell ref="B3:E3"/>
    <mergeCell ref="B7:E7"/>
    <mergeCell ref="B9:E9"/>
    <mergeCell ref="B24:E2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B1FA2"/>
  </sheetPr>
  <dimension ref="A1:G29"/>
  <sheetViews>
    <sheetView showGridLines="0" zoomScaleNormal="100" workbookViewId="0"/>
  </sheetViews>
  <sheetFormatPr baseColWidth="10" defaultColWidth="8.6640625" defaultRowHeight="15" x14ac:dyDescent="0.2"/>
  <cols>
    <col min="1" max="1" width="3" customWidth="1"/>
    <col min="2" max="2" width="28" customWidth="1"/>
    <col min="3" max="5" width="20" customWidth="1"/>
    <col min="6" max="6" width="30" customWidth="1"/>
    <col min="7" max="7" width="3" customWidth="1"/>
  </cols>
  <sheetData>
    <row r="1" spans="1:7" ht="45" customHeight="1" x14ac:dyDescent="0.2">
      <c r="A1" s="4" t="s">
        <v>130</v>
      </c>
      <c r="B1" s="4"/>
      <c r="C1" s="4"/>
      <c r="D1" s="4"/>
      <c r="E1" s="4"/>
      <c r="F1" s="4"/>
      <c r="G1" s="4"/>
    </row>
    <row r="3" spans="1:7" ht="54.75" customHeight="1" x14ac:dyDescent="0.2">
      <c r="B3" s="3" t="s">
        <v>131</v>
      </c>
      <c r="C3" s="3"/>
      <c r="D3" s="3"/>
      <c r="E3" s="3"/>
      <c r="F3" s="3"/>
    </row>
    <row r="5" spans="1:7" ht="31.5" customHeight="1" x14ac:dyDescent="0.2">
      <c r="B5" s="2" t="s">
        <v>132</v>
      </c>
      <c r="C5" s="2"/>
      <c r="D5" s="2"/>
      <c r="E5" s="2"/>
      <c r="F5" s="2"/>
    </row>
    <row r="6" spans="1:7" ht="39.75" customHeight="1" x14ac:dyDescent="0.2">
      <c r="B6" s="36" t="s">
        <v>133</v>
      </c>
      <c r="C6" s="36" t="s">
        <v>134</v>
      </c>
      <c r="D6" s="36" t="s">
        <v>135</v>
      </c>
      <c r="E6" s="36" t="s">
        <v>136</v>
      </c>
      <c r="F6" s="36" t="s">
        <v>137</v>
      </c>
    </row>
    <row r="7" spans="1:7" ht="34.5" customHeight="1" x14ac:dyDescent="0.2">
      <c r="B7" s="39" t="s">
        <v>138</v>
      </c>
      <c r="C7" s="34" t="s">
        <v>139</v>
      </c>
      <c r="D7" s="34" t="s">
        <v>140</v>
      </c>
      <c r="E7" s="34" t="s">
        <v>141</v>
      </c>
      <c r="F7" s="49" t="s">
        <v>142</v>
      </c>
    </row>
    <row r="8" spans="1:7" ht="34.5" customHeight="1" x14ac:dyDescent="0.2">
      <c r="B8" s="15" t="s">
        <v>143</v>
      </c>
      <c r="C8" s="16" t="s">
        <v>144</v>
      </c>
      <c r="D8" s="16" t="s">
        <v>145</v>
      </c>
      <c r="E8" s="16" t="s">
        <v>146</v>
      </c>
      <c r="F8" s="17" t="s">
        <v>147</v>
      </c>
    </row>
    <row r="9" spans="1:7" ht="34.5" customHeight="1" x14ac:dyDescent="0.2">
      <c r="B9" s="39" t="s">
        <v>148</v>
      </c>
      <c r="C9" s="34" t="s">
        <v>149</v>
      </c>
      <c r="D9" s="34" t="s">
        <v>145</v>
      </c>
      <c r="E9" s="34" t="s">
        <v>150</v>
      </c>
      <c r="F9" s="49" t="s">
        <v>151</v>
      </c>
    </row>
    <row r="10" spans="1:7" ht="34.5" customHeight="1" x14ac:dyDescent="0.2">
      <c r="B10" s="15" t="s">
        <v>152</v>
      </c>
      <c r="C10" s="16" t="s">
        <v>153</v>
      </c>
      <c r="D10" s="16" t="s">
        <v>154</v>
      </c>
      <c r="E10" s="16" t="s">
        <v>155</v>
      </c>
      <c r="F10" s="17" t="s">
        <v>156</v>
      </c>
    </row>
    <row r="11" spans="1:7" ht="34.5" customHeight="1" x14ac:dyDescent="0.2">
      <c r="B11" s="39" t="s">
        <v>157</v>
      </c>
      <c r="C11" s="34" t="s">
        <v>140</v>
      </c>
      <c r="D11" s="34" t="s">
        <v>158</v>
      </c>
      <c r="E11" s="34" t="s">
        <v>159</v>
      </c>
      <c r="F11" s="49" t="s">
        <v>160</v>
      </c>
    </row>
    <row r="13" spans="1:7" ht="31.5" customHeight="1" x14ac:dyDescent="0.2">
      <c r="B13" s="2" t="s">
        <v>161</v>
      </c>
      <c r="C13" s="2"/>
      <c r="D13" s="2"/>
      <c r="E13" s="2"/>
      <c r="F13" s="2"/>
    </row>
    <row r="14" spans="1:7" ht="30" customHeight="1" x14ac:dyDescent="0.2">
      <c r="B14" s="20" t="s">
        <v>162</v>
      </c>
      <c r="C14" s="1">
        <f>'Your Situation'!C26</f>
        <v>235</v>
      </c>
      <c r="D14" s="1"/>
      <c r="E14" s="1"/>
      <c r="F14" s="17" t="s">
        <v>163</v>
      </c>
    </row>
    <row r="16" spans="1:7" x14ac:dyDescent="0.2">
      <c r="B16" s="36"/>
      <c r="C16" s="36" t="s">
        <v>164</v>
      </c>
      <c r="D16" s="36" t="s">
        <v>165</v>
      </c>
      <c r="E16" s="36" t="s">
        <v>166</v>
      </c>
      <c r="F16" s="36"/>
    </row>
    <row r="17" spans="2:6" ht="26" x14ac:dyDescent="0.2">
      <c r="B17" s="20" t="s">
        <v>167</v>
      </c>
      <c r="C17" s="29">
        <v>8</v>
      </c>
      <c r="D17" s="29">
        <v>6</v>
      </c>
      <c r="E17" s="29">
        <v>1</v>
      </c>
      <c r="F17" s="17" t="s">
        <v>168</v>
      </c>
    </row>
    <row r="18" spans="2:6" ht="39" x14ac:dyDescent="0.2">
      <c r="B18" s="40" t="s">
        <v>169</v>
      </c>
      <c r="C18" s="50">
        <f>'Your Situation'!C26*C17</f>
        <v>1880</v>
      </c>
      <c r="D18" s="50">
        <f>'Your Situation'!C26*D17</f>
        <v>1410</v>
      </c>
      <c r="E18" s="50">
        <f>'Your Situation'!C26*E17</f>
        <v>235</v>
      </c>
      <c r="F18" s="17" t="s">
        <v>170</v>
      </c>
    </row>
    <row r="19" spans="2:6" x14ac:dyDescent="0.2">
      <c r="B19" s="42" t="s">
        <v>171</v>
      </c>
      <c r="C19" s="21">
        <f>ROUND(('Plan Comparison'!C41-'Plan Comparison'!C36)*C17/12,0)</f>
        <v>133</v>
      </c>
      <c r="D19" s="21">
        <f>ROUND(('Plan Comparison'!C41-'Plan Comparison'!C36)*D17/12,0)</f>
        <v>100</v>
      </c>
      <c r="E19" s="21">
        <f>ROUND(('Plan Comparison'!C41-'Plan Comparison'!C36)*E17/12,0)</f>
        <v>17</v>
      </c>
    </row>
    <row r="20" spans="2:6" ht="31.5" customHeight="1" x14ac:dyDescent="0.2">
      <c r="B20" s="51" t="s">
        <v>172</v>
      </c>
      <c r="C20" s="52">
        <f>C18+C19</f>
        <v>2013</v>
      </c>
      <c r="D20" s="52">
        <f>D18+D19</f>
        <v>1510</v>
      </c>
      <c r="E20" s="52">
        <f>E18+E19</f>
        <v>252</v>
      </c>
    </row>
    <row r="21" spans="2:6" ht="31.5" customHeight="1" x14ac:dyDescent="0.2">
      <c r="B21" s="53" t="s">
        <v>173</v>
      </c>
      <c r="C21" s="54" t="s">
        <v>174</v>
      </c>
      <c r="D21" s="55">
        <f>C20-D20</f>
        <v>503</v>
      </c>
      <c r="E21" s="55">
        <f>C20-E20</f>
        <v>1761</v>
      </c>
      <c r="F21" s="56" t="s">
        <v>175</v>
      </c>
    </row>
    <row r="23" spans="2:6" ht="30" customHeight="1" x14ac:dyDescent="0.2">
      <c r="B23" s="62" t="s">
        <v>176</v>
      </c>
      <c r="C23" s="62"/>
      <c r="D23" s="62"/>
      <c r="E23" s="62"/>
      <c r="F23" s="62"/>
    </row>
    <row r="24" spans="2:6" ht="45" customHeight="1" x14ac:dyDescent="0.2">
      <c r="B24" s="39" t="s">
        <v>177</v>
      </c>
      <c r="C24" s="63" t="s">
        <v>178</v>
      </c>
      <c r="D24" s="63"/>
      <c r="E24" s="63"/>
      <c r="F24" s="63"/>
    </row>
    <row r="25" spans="2:6" ht="45" customHeight="1" x14ac:dyDescent="0.2">
      <c r="B25" s="15" t="s">
        <v>179</v>
      </c>
      <c r="C25" s="64" t="s">
        <v>180</v>
      </c>
      <c r="D25" s="64"/>
      <c r="E25" s="64"/>
      <c r="F25" s="64"/>
    </row>
    <row r="26" spans="2:6" ht="45" customHeight="1" x14ac:dyDescent="0.2">
      <c r="B26" s="39" t="s">
        <v>181</v>
      </c>
      <c r="C26" s="63" t="s">
        <v>182</v>
      </c>
      <c r="D26" s="63"/>
      <c r="E26" s="63"/>
      <c r="F26" s="63"/>
    </row>
    <row r="27" spans="2:6" ht="45" customHeight="1" x14ac:dyDescent="0.2">
      <c r="B27" s="15" t="s">
        <v>183</v>
      </c>
      <c r="C27" s="64" t="s">
        <v>231</v>
      </c>
      <c r="D27" s="64"/>
      <c r="E27" s="64"/>
      <c r="F27" s="64"/>
    </row>
    <row r="28" spans="2:6" ht="45" customHeight="1" x14ac:dyDescent="0.2">
      <c r="B28" s="39" t="s">
        <v>184</v>
      </c>
      <c r="C28" s="63" t="s">
        <v>232</v>
      </c>
      <c r="D28" s="63"/>
      <c r="E28" s="63"/>
      <c r="F28" s="63"/>
    </row>
    <row r="29" spans="2:6" ht="45" customHeight="1" x14ac:dyDescent="0.2">
      <c r="B29" s="15" t="s">
        <v>185</v>
      </c>
      <c r="C29" s="64" t="s">
        <v>186</v>
      </c>
      <c r="D29" s="64"/>
      <c r="E29" s="64"/>
      <c r="F29" s="64"/>
    </row>
  </sheetData>
  <mergeCells count="12">
    <mergeCell ref="C28:F28"/>
    <mergeCell ref="C29:F29"/>
    <mergeCell ref="B23:F23"/>
    <mergeCell ref="C24:F24"/>
    <mergeCell ref="C25:F25"/>
    <mergeCell ref="C26:F26"/>
    <mergeCell ref="C27:F27"/>
    <mergeCell ref="A1:G1"/>
    <mergeCell ref="B3:F3"/>
    <mergeCell ref="B5:F5"/>
    <mergeCell ref="B13:F13"/>
    <mergeCell ref="C14:E1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CAF50"/>
  </sheetPr>
  <dimension ref="A1:F18"/>
  <sheetViews>
    <sheetView showGridLines="0" zoomScaleNormal="100" workbookViewId="0"/>
  </sheetViews>
  <sheetFormatPr baseColWidth="10" defaultColWidth="8.6640625" defaultRowHeight="15" x14ac:dyDescent="0.2"/>
  <cols>
    <col min="1" max="1" width="3" customWidth="1"/>
    <col min="2" max="2" width="30" customWidth="1"/>
    <col min="3" max="5" width="25" customWidth="1"/>
    <col min="6" max="6" width="3" customWidth="1"/>
  </cols>
  <sheetData>
    <row r="1" spans="1:6" ht="45" customHeight="1" x14ac:dyDescent="0.2">
      <c r="A1" s="14" t="s">
        <v>187</v>
      </c>
      <c r="B1" s="14"/>
      <c r="C1" s="14"/>
      <c r="D1" s="14"/>
      <c r="E1" s="14"/>
      <c r="F1" s="14"/>
    </row>
    <row r="3" spans="1:6" ht="31.5" customHeight="1" x14ac:dyDescent="0.2">
      <c r="B3" s="12" t="s">
        <v>188</v>
      </c>
      <c r="C3" s="12"/>
      <c r="D3" s="12"/>
      <c r="E3" s="12"/>
    </row>
    <row r="4" spans="1:6" ht="27.75" customHeight="1" x14ac:dyDescent="0.2">
      <c r="B4" s="30" t="s">
        <v>189</v>
      </c>
      <c r="C4" s="30" t="s">
        <v>190</v>
      </c>
      <c r="D4" s="30" t="s">
        <v>191</v>
      </c>
      <c r="E4" s="30" t="s">
        <v>192</v>
      </c>
    </row>
    <row r="5" spans="1:6" ht="64.5" customHeight="1" x14ac:dyDescent="0.2">
      <c r="B5" s="33" t="s">
        <v>193</v>
      </c>
      <c r="C5" s="57" t="s">
        <v>194</v>
      </c>
      <c r="D5" s="35" t="s">
        <v>195</v>
      </c>
      <c r="E5" s="34" t="s">
        <v>196</v>
      </c>
    </row>
    <row r="6" spans="1:6" ht="64.5" customHeight="1" x14ac:dyDescent="0.2">
      <c r="B6" s="31" t="s">
        <v>197</v>
      </c>
      <c r="C6" s="58" t="s">
        <v>198</v>
      </c>
      <c r="D6" s="32" t="s">
        <v>199</v>
      </c>
      <c r="E6" s="16" t="s">
        <v>200</v>
      </c>
    </row>
    <row r="7" spans="1:6" ht="64.5" customHeight="1" x14ac:dyDescent="0.2">
      <c r="B7" s="33" t="s">
        <v>201</v>
      </c>
      <c r="C7" s="57" t="s">
        <v>202</v>
      </c>
      <c r="D7" s="35" t="s">
        <v>203</v>
      </c>
      <c r="E7" s="34" t="s">
        <v>204</v>
      </c>
    </row>
    <row r="8" spans="1:6" ht="64.5" customHeight="1" x14ac:dyDescent="0.2">
      <c r="B8" s="31" t="s">
        <v>205</v>
      </c>
      <c r="C8" s="58" t="s">
        <v>206</v>
      </c>
      <c r="D8" s="32" t="s">
        <v>207</v>
      </c>
      <c r="E8" s="16" t="s">
        <v>208</v>
      </c>
    </row>
    <row r="9" spans="1:6" ht="64.5" customHeight="1" x14ac:dyDescent="0.2">
      <c r="B9" s="33" t="s">
        <v>209</v>
      </c>
      <c r="C9" s="57" t="s">
        <v>210</v>
      </c>
      <c r="D9" s="35" t="s">
        <v>211</v>
      </c>
      <c r="E9" s="34" t="s">
        <v>212</v>
      </c>
    </row>
    <row r="11" spans="1:6" ht="31.5" customHeight="1" x14ac:dyDescent="0.2">
      <c r="B11" s="12" t="s">
        <v>213</v>
      </c>
      <c r="C11" s="12"/>
      <c r="D11" s="12"/>
      <c r="E11" s="12"/>
    </row>
    <row r="12" spans="1:6" ht="49.5" customHeight="1" x14ac:dyDescent="0.2">
      <c r="B12" s="39" t="s">
        <v>214</v>
      </c>
      <c r="C12" s="63" t="s">
        <v>215</v>
      </c>
      <c r="D12" s="63"/>
      <c r="E12" s="59" t="s">
        <v>216</v>
      </c>
    </row>
    <row r="13" spans="1:6" ht="49.5" customHeight="1" x14ac:dyDescent="0.2">
      <c r="B13" s="15" t="s">
        <v>217</v>
      </c>
      <c r="C13" s="64" t="s">
        <v>218</v>
      </c>
      <c r="D13" s="64"/>
      <c r="E13" s="59" t="s">
        <v>216</v>
      </c>
    </row>
    <row r="14" spans="1:6" ht="49.5" customHeight="1" x14ac:dyDescent="0.2">
      <c r="B14" s="39" t="s">
        <v>219</v>
      </c>
      <c r="C14" s="63" t="s">
        <v>220</v>
      </c>
      <c r="D14" s="63"/>
      <c r="E14" s="60" t="s">
        <v>221</v>
      </c>
    </row>
    <row r="15" spans="1:6" ht="49.5" customHeight="1" x14ac:dyDescent="0.2">
      <c r="B15" s="15" t="s">
        <v>222</v>
      </c>
      <c r="C15" s="64" t="s">
        <v>223</v>
      </c>
      <c r="D15" s="64"/>
      <c r="E15" s="61" t="s">
        <v>224</v>
      </c>
    </row>
    <row r="16" spans="1:6" ht="49.5" customHeight="1" x14ac:dyDescent="0.2">
      <c r="B16" s="39" t="s">
        <v>225</v>
      </c>
      <c r="C16" s="63" t="s">
        <v>226</v>
      </c>
      <c r="D16" s="63"/>
      <c r="E16" s="59" t="s">
        <v>216</v>
      </c>
    </row>
    <row r="17" spans="2:5" ht="49.5" customHeight="1" x14ac:dyDescent="0.2">
      <c r="B17" s="15" t="s">
        <v>227</v>
      </c>
      <c r="C17" s="64" t="s">
        <v>228</v>
      </c>
      <c r="D17" s="64"/>
      <c r="E17" s="60" t="s">
        <v>221</v>
      </c>
    </row>
    <row r="18" spans="2:5" ht="49.5" customHeight="1" x14ac:dyDescent="0.2">
      <c r="B18" s="39" t="s">
        <v>229</v>
      </c>
      <c r="C18" s="63" t="s">
        <v>230</v>
      </c>
      <c r="D18" s="63"/>
      <c r="E18" s="59" t="s">
        <v>216</v>
      </c>
    </row>
  </sheetData>
  <mergeCells count="10">
    <mergeCell ref="C14:D14"/>
    <mergeCell ref="C15:D15"/>
    <mergeCell ref="C16:D16"/>
    <mergeCell ref="C17:D17"/>
    <mergeCell ref="C18:D18"/>
    <mergeCell ref="A1:F1"/>
    <mergeCell ref="B3:E3"/>
    <mergeCell ref="B11:E11"/>
    <mergeCell ref="C12:D12"/>
    <mergeCell ref="C13:D1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Your Situation</vt:lpstr>
      <vt:lpstr>Plan Comparison</vt:lpstr>
      <vt:lpstr>Filing Timing Strategy</vt:lpstr>
      <vt:lpstr>Decision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Matt Henderson</cp:lastModifiedBy>
  <cp:revision>0</cp:revision>
  <dcterms:created xsi:type="dcterms:W3CDTF">2026-02-15T20:00:52Z</dcterms:created>
  <dcterms:modified xsi:type="dcterms:W3CDTF">2026-02-16T00:44:54Z</dcterms:modified>
  <dc:language>en-US</dc:language>
</cp:coreProperties>
</file>